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Business Analyst\04_Customer Segmentation using RFM Model\"/>
    </mc:Choice>
  </mc:AlternateContent>
  <xr:revisionPtr revIDLastSave="0" documentId="13_ncr:1_{720F0320-21EC-44EB-8816-134852E7275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" sheetId="5" r:id="rId1"/>
    <sheet name="RFM Summary" sheetId="2" r:id="rId2"/>
    <sheet name="Recommendations" sheetId="3" r:id="rId3"/>
    <sheet name="Chart Source Data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<sst xmlns="http://schemas.openxmlformats.org/spreadsheetml/2006/main" count="271" uniqueCount="184">
  <si>
    <t>Region</t>
  </si>
  <si>
    <t>Age Group</t>
  </si>
  <si>
    <t>Gender</t>
  </si>
  <si>
    <t>Loyalty</t>
  </si>
  <si>
    <t>Segment</t>
  </si>
  <si>
    <t>North</t>
  </si>
  <si>
    <t>36-45</t>
  </si>
  <si>
    <t>Male</t>
  </si>
  <si>
    <t>Silver</t>
  </si>
  <si>
    <t>At-Risk</t>
  </si>
  <si>
    <t>18-25</t>
  </si>
  <si>
    <t>Platinum</t>
  </si>
  <si>
    <t>Loyal Customers</t>
  </si>
  <si>
    <t>Central</t>
  </si>
  <si>
    <t>46-55</t>
  </si>
  <si>
    <t>Regular</t>
  </si>
  <si>
    <t>Lost Customers</t>
  </si>
  <si>
    <t>East</t>
  </si>
  <si>
    <t>55+</t>
  </si>
  <si>
    <t>Female</t>
  </si>
  <si>
    <t>26-35</t>
  </si>
  <si>
    <t>West</t>
  </si>
  <si>
    <t>New Customers</t>
  </si>
  <si>
    <t>Gold</t>
  </si>
  <si>
    <t>South</t>
  </si>
  <si>
    <t>Champions</t>
  </si>
  <si>
    <t>Potential Loyalists</t>
  </si>
  <si>
    <t>Bronze</t>
  </si>
  <si>
    <t>RFM Segment Summary — Customer Analytics Report</t>
  </si>
  <si>
    <t>Analysis Date: 31-Mar-2025  |  Total Customers: 100  |  Data Period: Apr 2024 – Mar 2025</t>
  </si>
  <si>
    <t>SEGMENT-WISE RFM SUMMARY</t>
  </si>
  <si>
    <t>Customers</t>
  </si>
  <si>
    <t>% Total</t>
  </si>
  <si>
    <t>Total Revenue (INR)</t>
  </si>
  <si>
    <t>Rev %</t>
  </si>
  <si>
    <t>Avg RFM</t>
  </si>
  <si>
    <t>Avg Recency</t>
  </si>
  <si>
    <t>Avg Orders</t>
  </si>
  <si>
    <t>Avg Spend</t>
  </si>
  <si>
    <t>12.0%</t>
  </si>
  <si>
    <t>INR 2,048,526</t>
  </si>
  <si>
    <t>22.2%</t>
  </si>
  <si>
    <t>INR 170,710</t>
  </si>
  <si>
    <t>31.0%</t>
  </si>
  <si>
    <t>INR 4,367,022</t>
  </si>
  <si>
    <t>47.4%</t>
  </si>
  <si>
    <t>INR 140,872</t>
  </si>
  <si>
    <t>15.0%</t>
  </si>
  <si>
    <t>INR 1,264,711</t>
  </si>
  <si>
    <t>13.7%</t>
  </si>
  <si>
    <t>INR 84,314</t>
  </si>
  <si>
    <t>27.0%</t>
  </si>
  <si>
    <t>INR 1,240,190</t>
  </si>
  <si>
    <t>13.5%</t>
  </si>
  <si>
    <t>INR 45,933</t>
  </si>
  <si>
    <t>11.0%</t>
  </si>
  <si>
    <t>INR 275,162</t>
  </si>
  <si>
    <t>3.0%</t>
  </si>
  <si>
    <t>INR 25,015</t>
  </si>
  <si>
    <t>4.0%</t>
  </si>
  <si>
    <t>INR 19,638</t>
  </si>
  <si>
    <t>0.2%</t>
  </si>
  <si>
    <t>INR 4,910</t>
  </si>
  <si>
    <t>TOTAL</t>
  </si>
  <si>
    <t>100%</t>
  </si>
  <si>
    <t>INR 9,215,249</t>
  </si>
  <si>
    <t>—</t>
  </si>
  <si>
    <t>RFM SCORING FRAMEWORK</t>
  </si>
  <si>
    <t>Score Band</t>
  </si>
  <si>
    <t>Recency Behaviour</t>
  </si>
  <si>
    <t>Frequency Behaviour</t>
  </si>
  <si>
    <t>Monetary Behaviour</t>
  </si>
  <si>
    <t>Recommended Action</t>
  </si>
  <si>
    <t>13–15</t>
  </si>
  <si>
    <t>Purchased very recently</t>
  </si>
  <si>
    <t>Very frequent buyer</t>
  </si>
  <si>
    <t>High spender</t>
  </si>
  <si>
    <t>Reward &amp; upsell — VIP program</t>
  </si>
  <si>
    <t>11–12</t>
  </si>
  <si>
    <t>Recent purchase</t>
  </si>
  <si>
    <t>Regular buyer</t>
  </si>
  <si>
    <t>Above-avg spend</t>
  </si>
  <si>
    <t>Loyalty rewards, referral program</t>
  </si>
  <si>
    <t>9–10</t>
  </si>
  <si>
    <t>Moderate recency</t>
  </si>
  <si>
    <t>Moderate frequency</t>
  </si>
  <si>
    <t>Moderate spend</t>
  </si>
  <si>
    <t>Nurture with offers, engagement</t>
  </si>
  <si>
    <t>7–8</t>
  </si>
  <si>
    <t>Recent but infrequent</t>
  </si>
  <si>
    <t>Low frequency</t>
  </si>
  <si>
    <t>Low–moderate spend</t>
  </si>
  <si>
    <t>Onboarding campaigns, welcome offers</t>
  </si>
  <si>
    <t>5–6</t>
  </si>
  <si>
    <t>Not purchased recently</t>
  </si>
  <si>
    <t>Declining frequency</t>
  </si>
  <si>
    <t>Declining spend</t>
  </si>
  <si>
    <t>Re-engagement campaigns, discounts</t>
  </si>
  <si>
    <t>3–4</t>
  </si>
  <si>
    <t>Very long ago</t>
  </si>
  <si>
    <t>Rarely purchased</t>
  </si>
  <si>
    <t>Low spender</t>
  </si>
  <si>
    <t>Win-back campaigns, awareness ads</t>
  </si>
  <si>
    <t>BUSINESS RECOMMENDATIONS — Customer Segmentation using RFM Model</t>
  </si>
  <si>
    <t>Prepared for: Marketing &amp; CRM Leadership Team  |  Period: Q1 FY2025-26</t>
  </si>
  <si>
    <t>Priority</t>
  </si>
  <si>
    <t>Strategy</t>
  </si>
  <si>
    <t>Action Plan</t>
  </si>
  <si>
    <t>Expected Outcome</t>
  </si>
  <si>
    <t>Timeline</t>
  </si>
  <si>
    <t>KPI</t>
  </si>
  <si>
    <t>Budget Impact</t>
  </si>
  <si>
    <t>CRITICAL</t>
  </si>
  <si>
    <t>VIP Retention</t>
  </si>
  <si>
    <t>Exclusive membership, early product access, personalised rewards, dedicated account manager</t>
  </si>
  <si>
    <t>Retain top revenue; AOV +15%</t>
  </si>
  <si>
    <t>Month 1</t>
  </si>
  <si>
    <t>Retention Rate, CLV</t>
  </si>
  <si>
    <t>High ROI</t>
  </si>
  <si>
    <t>HIGH</t>
  </si>
  <si>
    <t>Referral &amp; Rewards</t>
  </si>
  <si>
    <t>Refer-a-Friend cashback, monthly loyalty points redemption, category double-points</t>
  </si>
  <si>
    <t>Grow base organically; repeat +20%</t>
  </si>
  <si>
    <t>Month 1–2</t>
  </si>
  <si>
    <t>Referral Rate, Repeat %</t>
  </si>
  <si>
    <t>Medium</t>
  </si>
  <si>
    <t>MEDIUM</t>
  </si>
  <si>
    <t>Nurturing Campaign</t>
  </si>
  <si>
    <t>Personalised offers, 10% discount next 3 purchases, category-specific recommendations</t>
  </si>
  <si>
    <t>Convert to Loyal within 90 days</t>
  </si>
  <si>
    <t>Month 2–3</t>
  </si>
  <si>
    <t>Conversion Rate</t>
  </si>
  <si>
    <t>Onboarding Journey</t>
  </si>
  <si>
    <t>7-day welcome email series, first-purchase discount, product education, category recs</t>
  </si>
  <si>
    <t>30-day repeat purchase increase</t>
  </si>
  <si>
    <t>30-Day Repeat Rate</t>
  </si>
  <si>
    <t>Low–Med</t>
  </si>
  <si>
    <t>Re-Engagement</t>
  </si>
  <si>
    <t>20% win-back coupon, SMS reminder, limited-time flash sale, personalised outreach</t>
  </si>
  <si>
    <t>Re-activate 40–50% of at-risk</t>
  </si>
  <si>
    <t>Re-activation Rate</t>
  </si>
  <si>
    <t>High Priority</t>
  </si>
  <si>
    <t>Win-Back Programme</t>
  </si>
  <si>
    <t>Social media awareness, special comeback offer, new product launch invitations, surveys</t>
  </si>
  <si>
    <t>Recover 25–30% of lost customers</t>
  </si>
  <si>
    <t>Month 2–4</t>
  </si>
  <si>
    <t>Win-Back Rate</t>
  </si>
  <si>
    <t>T1: Segment Customers</t>
  </si>
  <si>
    <t>T2: Segment Revenue</t>
  </si>
  <si>
    <t>T3: Loyalty Status</t>
  </si>
  <si>
    <t>T4: Region Revenue</t>
  </si>
  <si>
    <t>T5: Age Distribution</t>
  </si>
  <si>
    <t>T6: RFM Scores</t>
  </si>
  <si>
    <t>T7: Gender Split</t>
  </si>
  <si>
    <t>Revenue</t>
  </si>
  <si>
    <t>Count</t>
  </si>
  <si>
    <t>CUSTOMER SEGMENTATION — RFM MODEL  |  CRM Analytics Dashboard</t>
  </si>
  <si>
    <t>TOTAL CUSTOMERS
100
Active Database</t>
  </si>
  <si>
    <t>TOTAL REVENUE
INR 9,215,249
FY2024-25</t>
  </si>
  <si>
    <t>CHAMPIONS
12
High-Value</t>
  </si>
  <si>
    <t>AT-RISK
11
Need Re-engagement</t>
  </si>
  <si>
    <t>LOYAL CUSTOMERS
31
Retention Priority</t>
  </si>
  <si>
    <t>▌ RFM SEGMENT DISTRIBUTION</t>
  </si>
  <si>
    <t>▌ SEGMENT-WISE REVENUE CONTRIBUTION</t>
  </si>
  <si>
    <t>Revenue (INR)</t>
  </si>
  <si>
    <t>Total Rev (INR)</t>
  </si>
  <si>
    <t>% Share</t>
  </si>
  <si>
    <t>Avg Spend/Cust</t>
  </si>
  <si>
    <t>▌ CHART 1: CUSTOMERS BY SEGMENT</t>
  </si>
  <si>
    <t>▌ CHART 2: REVENUE BY SEGMENT</t>
  </si>
  <si>
    <t>▌ CHART 3: LOYALTY STATUS DISTRIBUTION</t>
  </si>
  <si>
    <t>▌ CHART 4: REVENUE BY REGION</t>
  </si>
  <si>
    <t>▌ CHART 5: AGE DISTRIBUTION</t>
  </si>
  <si>
    <t>▌ CHART 6: AVG ORDERS BY SEGMENT</t>
  </si>
  <si>
    <t>▌ CHART 7: GENDER SPLIT</t>
  </si>
  <si>
    <t>▌ KEY INSIGHTS &amp; STRATEGIC RECOMMENDATIONS</t>
  </si>
  <si>
    <t>Invest in VIP retention — reward &amp; upsell to protect revenue concentration.</t>
  </si>
  <si>
    <t>Launch 20% win-back coupon campaign immediately — high churn probability.</t>
  </si>
  <si>
    <t>Activate referral programme — best segment for organic growth.</t>
  </si>
  <si>
    <t>7-day onboarding email series — convert first-time to repeat buyers.</t>
  </si>
  <si>
    <t>Social media awareness + comeback offers — targeted win-back campaign.</t>
  </si>
  <si>
    <t>Top 2 segments = 70% revenue — differentiate service &amp; build moats.</t>
  </si>
  <si>
    <t>Customer Segmentation using RFM Model  |  Portfolio Project by Debarati  |  Framework: Recency · Frequency · Monetary Value  |  Tool: Excel</t>
  </si>
  <si>
    <t>Analysis Period: Apr 2024 – Mar 2025  |  Customers Analysed: 100  |  Tool: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</si>
</sst>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A04000"/>
      <name val="Arial"/>
      <family val="2"/>
    </font>
    <font>
      <b/>
      <sz val="8"/>
      <color rgb="FF1E8449"/>
      <name val="Arial"/>
      <family val="2"/>
    </font>
    <font>
      <b/>
      <sz val="8"/>
      <color rgb="FF7B241C"/>
      <name val="Arial"/>
      <family val="2"/>
    </font>
    <font>
      <b/>
      <sz val="8"/>
      <color rgb="FF7D6608"/>
      <name val="Arial"/>
      <family val="2"/>
    </font>
    <font>
      <b/>
      <sz val="8"/>
      <color rgb="FF1A5276"/>
      <name val="Arial"/>
      <family val="2"/>
    </font>
    <font>
      <b/>
      <sz val="8"/>
      <color rgb="FF1F618D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8"/>
      <color rgb="FF1A5276"/>
      <name val="Arial"/>
      <family val="2"/>
    </font>
    <font>
      <sz val="8"/>
      <color rgb="FF1E8449"/>
      <name val="Arial"/>
      <family val="2"/>
    </font>
    <font>
      <sz val="8"/>
      <color rgb="FF1F618D"/>
      <name val="Arial"/>
      <family val="2"/>
    </font>
    <font>
      <sz val="8"/>
      <color rgb="FF7D6608"/>
      <name val="Arial"/>
      <family val="2"/>
    </font>
    <font>
      <sz val="8"/>
      <color rgb="FFA04000"/>
      <name val="Arial"/>
      <family val="2"/>
    </font>
    <font>
      <sz val="8"/>
      <color rgb="FF7B241C"/>
      <name val="Arial"/>
      <family val="2"/>
    </font>
    <font>
      <b/>
      <sz val="9"/>
      <color rgb="FF1A2D5A"/>
      <name val="Cambria"/>
      <family val="1"/>
    </font>
    <font>
      <sz val="8"/>
      <name val="Arial"/>
      <family val="2"/>
    </font>
    <font>
      <b/>
      <sz val="15"/>
      <color rgb="FFFFFFFF"/>
      <name val="Arial"/>
      <family val="2"/>
    </font>
    <font>
      <sz val="9"/>
      <color rgb="FF2B4590"/>
      <name val="Arial"/>
      <family val="2"/>
    </font>
    <font>
      <sz val="9"/>
      <color rgb="FF1E8449"/>
      <name val="Arial"/>
      <family val="2"/>
    </font>
    <font>
      <sz val="9"/>
      <color rgb="FF1A5276"/>
      <name val="Arial"/>
      <family val="2"/>
    </font>
    <font>
      <sz val="9"/>
      <color rgb="FFA04000"/>
      <name val="Arial"/>
      <family val="2"/>
    </font>
    <font>
      <sz val="9"/>
      <color rgb="FF7D3C98"/>
      <name val="Arial"/>
      <family val="2"/>
    </font>
    <font>
      <b/>
      <sz val="9"/>
      <color rgb="FFFFFFFF"/>
      <name val="Arial"/>
      <family val="2"/>
    </font>
    <font>
      <b/>
      <sz val="9"/>
      <color rgb="FF1A5276"/>
      <name val="Arial"/>
      <family val="2"/>
    </font>
    <font>
      <sz val="9"/>
      <color rgb="FF333333"/>
      <name val="Arial"/>
      <family val="2"/>
    </font>
    <font>
      <b/>
      <sz val="9"/>
      <color rgb="FFA04000"/>
      <name val="Arial"/>
      <family val="2"/>
    </font>
    <font>
      <b/>
      <sz val="9"/>
      <color rgb="FF1E8449"/>
      <name val="Arial"/>
      <family val="2"/>
    </font>
    <font>
      <b/>
      <sz val="9"/>
      <color rgb="FF7D6608"/>
      <name val="Arial"/>
      <family val="2"/>
    </font>
    <font>
      <b/>
      <sz val="9"/>
      <color rgb="FF7B241C"/>
      <name val="Arial"/>
      <family val="2"/>
    </font>
    <font>
      <b/>
      <sz val="9"/>
      <color rgb="FF2B4590"/>
      <name val="Arial"/>
      <family val="2"/>
    </font>
    <font>
      <i/>
      <sz val="8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2D5A"/>
        <bgColor rgb="FF2C3E50"/>
      </patternFill>
    </fill>
    <fill>
      <patternFill patternType="solid">
        <fgColor rgb="FF2B4590"/>
        <bgColor rgb="FF1A5276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EBF5FB"/>
        <bgColor rgb="FFF4F6F8"/>
      </patternFill>
    </fill>
    <fill>
      <patternFill patternType="solid">
        <fgColor rgb="FFFEF9E7"/>
        <bgColor rgb="FFF4F6F8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  <fill>
      <patternFill patternType="solid">
        <fgColor rgb="FF1E8449"/>
        <bgColor rgb="FF117A65"/>
      </patternFill>
    </fill>
    <fill>
      <patternFill patternType="solid">
        <fgColor rgb="FF7D3C98"/>
        <bgColor rgb="FF6C3483"/>
      </patternFill>
    </fill>
    <fill>
      <patternFill patternType="solid">
        <fgColor rgb="FF117A65"/>
        <bgColor rgb="FF1E8449"/>
      </patternFill>
    </fill>
    <fill>
      <patternFill patternType="solid">
        <fgColor rgb="FF1F618D"/>
        <bgColor rgb="FF1A5276"/>
      </patternFill>
    </fill>
    <fill>
      <patternFill patternType="solid">
        <fgColor rgb="FFA04000"/>
        <bgColor rgb="FF784212"/>
      </patternFill>
    </fill>
    <fill>
      <patternFill patternType="solid">
        <fgColor rgb="FFF4ECF7"/>
        <bgColor rgb="FFF4F6F8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rgb="FF2B4590"/>
      </left>
      <right/>
      <top style="thin">
        <color rgb="FF2B4590"/>
      </top>
      <bottom style="thin">
        <color rgb="FF2B4590"/>
      </bottom>
      <diagonal/>
    </border>
    <border>
      <left style="thick">
        <color rgb="FF1E8449"/>
      </left>
      <right/>
      <top style="thin">
        <color rgb="FF1E8449"/>
      </top>
      <bottom style="thin">
        <color rgb="FF1E8449"/>
      </bottom>
      <diagonal/>
    </border>
    <border>
      <left style="thick">
        <color rgb="FF1A5276"/>
      </left>
      <right/>
      <top style="thin">
        <color rgb="FF1A5276"/>
      </top>
      <bottom style="thin">
        <color rgb="FF1A5276"/>
      </bottom>
      <diagonal/>
    </border>
    <border>
      <left style="thick">
        <color rgb="FFA04000"/>
      </left>
      <right/>
      <top style="thin">
        <color rgb="FFA04000"/>
      </top>
      <bottom style="thin">
        <color rgb="FFA04000"/>
      </bottom>
      <diagonal/>
    </border>
    <border>
      <left style="thick">
        <color rgb="FF7D3C98"/>
      </left>
      <right/>
      <top style="thin">
        <color rgb="FF7D3C98"/>
      </top>
      <bottom style="thin">
        <color rgb="FF7D3C98"/>
      </bottom>
      <diagonal/>
    </border>
    <border>
      <left style="thick">
        <color rgb="FF1A5276"/>
      </left>
      <right/>
      <top/>
      <bottom/>
      <diagonal/>
    </border>
    <border>
      <left style="thick">
        <color rgb="FFA04000"/>
      </left>
      <right/>
      <top/>
      <bottom/>
      <diagonal/>
    </border>
    <border>
      <left style="thick">
        <color rgb="FF1E8449"/>
      </left>
      <right/>
      <top/>
      <bottom/>
      <diagonal/>
    </border>
    <border>
      <left style="thick">
        <color rgb="FF7D6608"/>
      </left>
      <right/>
      <top/>
      <bottom/>
      <diagonal/>
    </border>
    <border>
      <left style="thick">
        <color rgb="FF7B241C"/>
      </left>
      <right/>
      <top/>
      <bottom/>
      <diagonal/>
    </border>
    <border>
      <left style="thick">
        <color rgb="FF2B4590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8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3" fillId="6" borderId="12" xfId="0" applyFont="1" applyFill="1" applyBorder="1" applyAlignment="1">
      <alignment horizontal="left" vertical="center"/>
    </xf>
    <xf numFmtId="0" fontId="28" fillId="6" borderId="0" xfId="0" applyFont="1" applyFill="1" applyAlignment="1">
      <alignment horizontal="left" vertical="center" wrapText="1"/>
    </xf>
    <xf numFmtId="0" fontId="3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6" fillId="3" borderId="0" xfId="0" applyFont="1" applyFill="1" applyAlignment="1">
      <alignment horizontal="left" vertical="center"/>
    </xf>
    <xf numFmtId="0" fontId="30" fillId="5" borderId="9" xfId="0" applyFont="1" applyFill="1" applyBorder="1" applyAlignment="1">
      <alignment horizontal="left" vertical="center"/>
    </xf>
    <xf numFmtId="0" fontId="28" fillId="5" borderId="0" xfId="0" applyFont="1" applyFill="1" applyAlignment="1">
      <alignment horizontal="left" vertical="center" wrapText="1"/>
    </xf>
    <xf numFmtId="0" fontId="31" fillId="7" borderId="10" xfId="0" applyFont="1" applyFill="1" applyBorder="1" applyAlignment="1">
      <alignment horizontal="left" vertical="center"/>
    </xf>
    <xf numFmtId="0" fontId="28" fillId="7" borderId="0" xfId="0" applyFont="1" applyFill="1" applyAlignment="1">
      <alignment horizontal="left" vertical="center" wrapText="1"/>
    </xf>
    <xf numFmtId="0" fontId="32" fillId="9" borderId="11" xfId="0" applyFont="1" applyFill="1" applyBorder="1" applyAlignment="1">
      <alignment horizontal="left" vertical="center"/>
    </xf>
    <xf numFmtId="0" fontId="28" fillId="9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27" fillId="4" borderId="7" xfId="0" applyFont="1" applyFill="1" applyBorder="1" applyAlignment="1">
      <alignment horizontal="left" vertical="center"/>
    </xf>
    <xf numFmtId="0" fontId="28" fillId="4" borderId="0" xfId="0" applyFont="1" applyFill="1" applyAlignment="1">
      <alignment horizontal="left" vertical="center" wrapText="1"/>
    </xf>
    <xf numFmtId="0" fontId="29" fillId="8" borderId="8" xfId="0" applyFont="1" applyFill="1" applyBorder="1" applyAlignment="1">
      <alignment horizontal="left" vertical="center"/>
    </xf>
    <xf numFmtId="0" fontId="28" fillId="8" borderId="0" xfId="0" applyFont="1" applyFill="1" applyAlignment="1">
      <alignment horizontal="left" vertical="center" wrapText="1"/>
    </xf>
    <xf numFmtId="0" fontId="26" fillId="11" borderId="0" xfId="0" applyFont="1" applyFill="1" applyAlignment="1">
      <alignment horizontal="left" vertical="center"/>
    </xf>
    <xf numFmtId="0" fontId="26" fillId="12" borderId="0" xfId="0" applyFont="1" applyFill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26" fillId="14" borderId="0" xfId="0" applyFont="1" applyFill="1" applyAlignment="1">
      <alignment horizontal="left" vertical="center"/>
    </xf>
    <xf numFmtId="3" fontId="16" fillId="8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center" vertical="center"/>
    </xf>
    <xf numFmtId="3" fontId="17" fillId="9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3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center" vertical="center"/>
    </xf>
    <xf numFmtId="3" fontId="15" fillId="7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3" fontId="12" fillId="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26" fillId="1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1" fillId="6" borderId="2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5" fillId="15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186A3B"/>
      <rgbColor rgb="FF000080"/>
      <rgbColor rgb="FF7D6608"/>
      <rgbColor rgb="FF800080"/>
      <rgbColor rgb="FF117A65"/>
      <rgbColor rgb="FFCCCCCC"/>
      <rgbColor rgb="FF878787"/>
      <rgbColor rgb="FF9999FF"/>
      <rgbColor rgb="FF7D3C98"/>
      <rgbColor rgb="FFFEF9E7"/>
      <rgbColor rgb="FFD6EAF8"/>
      <rgbColor rgb="FF7E5109"/>
      <rgbColor rgb="FFFF8080"/>
      <rgbColor rgb="FF1F618D"/>
      <rgbColor rgb="FFD9D9D9"/>
      <rgbColor rgb="FF000080"/>
      <rgbColor rgb="FFFF00FF"/>
      <rgbColor rgb="FFFFFF00"/>
      <rgbColor rgb="FF00FFFF"/>
      <rgbColor rgb="FF800080"/>
      <rgbColor rgb="FF784212"/>
      <rgbColor rgb="FF0E6655"/>
      <rgbColor rgb="FF0000FF"/>
      <rgbColor rgb="FF00CCFF"/>
      <rgbColor rgb="FFEBF5FB"/>
      <rgbColor rgb="FFD5F5E3"/>
      <rgbColor rgb="FFFDEBD0"/>
      <rgbColor rgb="FFF4ECF7"/>
      <rgbColor rgb="FFF4F6F8"/>
      <rgbColor rgb="FFCC99FF"/>
      <rgbColor rgb="FFFADBD8"/>
      <rgbColor rgb="FF4F81BD"/>
      <rgbColor rgb="FF33CCCC"/>
      <rgbColor rgb="FF99CC00"/>
      <rgbColor rgb="FFFFCC00"/>
      <rgbColor rgb="FFB7950B"/>
      <rgbColor rgb="FFC0392B"/>
      <rgbColor rgb="FF707B7C"/>
      <rgbColor rgb="FF969696"/>
      <rgbColor rgb="FF1A2D5A"/>
      <rgbColor rgb="FF1E8449"/>
      <rgbColor rgb="FF1A5276"/>
      <rgbColor rgb="FF2C3E50"/>
      <rgbColor rgb="FFA04000"/>
      <rgbColor rgb="FF6C3483"/>
      <rgbColor rgb="FF2B45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Customers by RFM Segment</a:t>
            </a:r>
          </a:p>
        </c:rich>
      </c:tx>
      <c:layout>
        <c:manualLayout>
          <c:xMode val="edge"/>
          <c:yMode val="edge"/>
          <c:x val="0.36254448398576511"/>
          <c:y val="4.4208664898320073E-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52559358431506"/>
          <c:y val="2.0877755324832176E-2"/>
          <c:w val="0.85079387226057457"/>
          <c:h val="0.765975890181868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Source Data'!$B$2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2B4590"/>
            </a:solidFill>
            <a:ln w="0">
              <a:solidFill>
                <a:srgbClr val="1A2D5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Source Data'!$A$3:$A$8</c:f>
              <c:strCache>
                <c:ptCount val="6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New Customers</c:v>
                </c:pt>
                <c:pt idx="4">
                  <c:v>At-Risk</c:v>
                </c:pt>
                <c:pt idx="5">
                  <c:v>Lost Customers</c:v>
                </c:pt>
              </c:strCache>
            </c:strRef>
          </c:cat>
          <c:val>
            <c:numRef>
              <c:f>'Chart Source Data'!$B$3:$B$8</c:f>
              <c:numCache>
                <c:formatCode>General</c:formatCode>
                <c:ptCount val="6"/>
                <c:pt idx="0">
                  <c:v>12</c:v>
                </c:pt>
                <c:pt idx="1">
                  <c:v>31</c:v>
                </c:pt>
                <c:pt idx="2">
                  <c:v>15</c:v>
                </c:pt>
                <c:pt idx="3">
                  <c:v>27</c:v>
                </c:pt>
                <c:pt idx="4">
                  <c:v>11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6-4F01-BB44-70E87A879B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3684996"/>
        <c:axId val="74076476"/>
      </c:barChart>
      <c:catAx>
        <c:axId val="73684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076476"/>
        <c:crosses val="autoZero"/>
        <c:auto val="1"/>
        <c:lblAlgn val="ctr"/>
        <c:lblOffset val="100"/>
        <c:noMultiLvlLbl val="0"/>
      </c:catAx>
      <c:valAx>
        <c:axId val="7407647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No.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684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Segment (INR)</a:t>
            </a:r>
          </a:p>
        </c:rich>
      </c:tx>
      <c:layout>
        <c:manualLayout>
          <c:xMode val="edge"/>
          <c:yMode val="edge"/>
          <c:x val="0.26741451726871329"/>
          <c:y val="2.589590661161237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Source Data'!$E$2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E8449"/>
            </a:solidFill>
            <a:ln w="0">
              <a:solidFill>
                <a:srgbClr val="186A3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Source Data'!$D$3:$D$8</c:f>
              <c:strCache>
                <c:ptCount val="6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New Customers</c:v>
                </c:pt>
                <c:pt idx="4">
                  <c:v>At-Risk</c:v>
                </c:pt>
                <c:pt idx="5">
                  <c:v>Lost Customers</c:v>
                </c:pt>
              </c:strCache>
            </c:strRef>
          </c:cat>
          <c:val>
            <c:numRef>
              <c:f>'Chart Source Data'!$E$3:$E$8</c:f>
              <c:numCache>
                <c:formatCode>#,##0</c:formatCode>
                <c:ptCount val="6"/>
                <c:pt idx="0">
                  <c:v>2048526</c:v>
                </c:pt>
                <c:pt idx="1">
                  <c:v>4367022</c:v>
                </c:pt>
                <c:pt idx="2">
                  <c:v>1264711</c:v>
                </c:pt>
                <c:pt idx="3">
                  <c:v>1240190</c:v>
                </c:pt>
                <c:pt idx="4">
                  <c:v>275162</c:v>
                </c:pt>
                <c:pt idx="5">
                  <c:v>19638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2-4412-ADD1-D8B428587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01157"/>
        <c:axId val="15426405"/>
      </c:barChart>
      <c:catAx>
        <c:axId val="816011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26405"/>
        <c:crosses val="autoZero"/>
        <c:auto val="1"/>
        <c:lblAlgn val="ctr"/>
        <c:lblOffset val="100"/>
        <c:noMultiLvlLbl val="0"/>
      </c:catAx>
      <c:valAx>
        <c:axId val="15426405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6011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Loyalty Status Distribution</a:t>
            </a:r>
          </a:p>
        </c:rich>
      </c:tx>
      <c:layout>
        <c:manualLayout>
          <c:xMode val="edge"/>
          <c:yMode val="edge"/>
          <c:x val="0.23907960626442148"/>
          <c:y val="0.10324855906165198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Source Data'!$H$2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D3C9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C94-47F7-8F1A-6F7D878CDC37}"/>
              </c:ext>
            </c:extLst>
          </c:dPt>
          <c:dPt>
            <c:idx val="1"/>
            <c:bubble3D val="0"/>
            <c:spPr>
              <a:solidFill>
                <a:srgbClr val="B795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C94-47F7-8F1A-6F7D878CDC37}"/>
              </c:ext>
            </c:extLst>
          </c:dPt>
          <c:dPt>
            <c:idx val="2"/>
            <c:bubble3D val="0"/>
            <c:spPr>
              <a:solidFill>
                <a:srgbClr val="707B7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C94-47F7-8F1A-6F7D878CDC37}"/>
              </c:ext>
            </c:extLst>
          </c:dPt>
          <c:dPt>
            <c:idx val="3"/>
            <c:bubble3D val="0"/>
            <c:spPr>
              <a:solidFill>
                <a:srgbClr val="78421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C94-47F7-8F1A-6F7D878CDC37}"/>
              </c:ext>
            </c:extLst>
          </c:dPt>
          <c:dPt>
            <c:idx val="4"/>
            <c:bubble3D val="0"/>
            <c:spPr>
              <a:solidFill>
                <a:srgbClr val="2C3E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C94-47F7-8F1A-6F7D878CDC3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94-47F7-8F1A-6F7D878CDC3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94-47F7-8F1A-6F7D878CDC3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94-47F7-8F1A-6F7D878CDC3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94-47F7-8F1A-6F7D878CDC3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94-47F7-8F1A-6F7D878CDC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Source Data'!$G$3:$G$7</c:f>
              <c:strCache>
                <c:ptCount val="5"/>
                <c:pt idx="0">
                  <c:v>Platinum</c:v>
                </c:pt>
                <c:pt idx="1">
                  <c:v>Gold</c:v>
                </c:pt>
                <c:pt idx="2">
                  <c:v>Silver</c:v>
                </c:pt>
                <c:pt idx="3">
                  <c:v>Bronze</c:v>
                </c:pt>
                <c:pt idx="4">
                  <c:v>Regular</c:v>
                </c:pt>
              </c:strCache>
            </c:strRef>
          </c:cat>
          <c:val>
            <c:numRef>
              <c:f>'Chart Source Data'!$H$3:$H$7</c:f>
              <c:numCache>
                <c:formatCode>General</c:formatCode>
                <c:ptCount val="5"/>
                <c:pt idx="0">
                  <c:v>40</c:v>
                </c:pt>
                <c:pt idx="1">
                  <c:v>21</c:v>
                </c:pt>
                <c:pt idx="2">
                  <c:v>17</c:v>
                </c:pt>
                <c:pt idx="3">
                  <c:v>13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94-47F7-8F1A-6F7D878CD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Source Data'!$K$2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17A65"/>
            </a:solidFill>
            <a:ln w="0">
              <a:solidFill>
                <a:srgbClr val="0E665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Source Data'!$J$3:$J$7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'Chart Source Data'!$K$3:$K$7</c:f>
              <c:numCache>
                <c:formatCode>#,##0</c:formatCode>
                <c:ptCount val="5"/>
                <c:pt idx="0">
                  <c:v>1455158</c:v>
                </c:pt>
                <c:pt idx="1">
                  <c:v>3174229</c:v>
                </c:pt>
                <c:pt idx="2">
                  <c:v>1604836</c:v>
                </c:pt>
                <c:pt idx="3">
                  <c:v>1716730</c:v>
                </c:pt>
                <c:pt idx="4">
                  <c:v>1264296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F-41FE-80C8-68778168E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97536"/>
        <c:axId val="20802914"/>
      </c:barChart>
      <c:catAx>
        <c:axId val="3049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802914"/>
        <c:crosses val="autoZero"/>
        <c:auto val="1"/>
        <c:lblAlgn val="ctr"/>
        <c:lblOffset val="100"/>
        <c:noMultiLvlLbl val="0"/>
      </c:catAx>
      <c:valAx>
        <c:axId val="2080291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975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Customer Age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Source Data'!$N$2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618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890-4BDE-A74B-13850656B835}"/>
              </c:ext>
            </c:extLst>
          </c:dPt>
          <c:dPt>
            <c:idx val="1"/>
            <c:bubble3D val="0"/>
            <c:spPr>
              <a:solidFill>
                <a:srgbClr val="117A6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890-4BDE-A74B-13850656B835}"/>
              </c:ext>
            </c:extLst>
          </c:dPt>
          <c:dPt>
            <c:idx val="2"/>
            <c:bubble3D val="0"/>
            <c:spPr>
              <a:solidFill>
                <a:srgbClr val="7D660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890-4BDE-A74B-13850656B835}"/>
              </c:ext>
            </c:extLst>
          </c:dPt>
          <c:dPt>
            <c:idx val="3"/>
            <c:bubble3D val="0"/>
            <c:spPr>
              <a:solidFill>
                <a:srgbClr val="6C348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890-4BDE-A74B-13850656B835}"/>
              </c:ext>
            </c:extLst>
          </c:dPt>
          <c:dPt>
            <c:idx val="4"/>
            <c:bubble3D val="0"/>
            <c:spPr>
              <a:solidFill>
                <a:srgbClr val="7B241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890-4BDE-A74B-13850656B83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90-4BDE-A74B-13850656B83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90-4BDE-A74B-13850656B83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90-4BDE-A74B-13850656B83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90-4BDE-A74B-13850656B83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90-4BDE-A74B-13850656B8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Source Data'!$M$3:$M$7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'Chart Source Data'!$N$3:$N$7</c:f>
              <c:numCache>
                <c:formatCode>General</c:formatCode>
                <c:ptCount val="5"/>
                <c:pt idx="0">
                  <c:v>21</c:v>
                </c:pt>
                <c:pt idx="1">
                  <c:v>26</c:v>
                </c:pt>
                <c:pt idx="2">
                  <c:v>19</c:v>
                </c:pt>
                <c:pt idx="3">
                  <c:v>22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90-4BDE-A74B-13850656B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Orders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Source Data'!$S$2</c:f>
              <c:strCache>
                <c:ptCount val="1"/>
                <c:pt idx="0">
                  <c:v>Avg Orders</c:v>
                </c:pt>
              </c:strCache>
            </c:strRef>
          </c:tx>
          <c:spPr>
            <a:solidFill>
              <a:srgbClr val="A04000"/>
            </a:solidFill>
            <a:ln w="0">
              <a:solidFill>
                <a:srgbClr val="7E510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Source Data'!$P$3:$P$8</c:f>
              <c:strCache>
                <c:ptCount val="6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New Customers</c:v>
                </c:pt>
                <c:pt idx="4">
                  <c:v>At-Risk</c:v>
                </c:pt>
                <c:pt idx="5">
                  <c:v>Lost Customers</c:v>
                </c:pt>
              </c:strCache>
            </c:strRef>
          </c:cat>
          <c:val>
            <c:numRef>
              <c:f>'Chart Source Data'!$S$3:$S$8</c:f>
              <c:numCache>
                <c:formatCode>General</c:formatCode>
                <c:ptCount val="6"/>
                <c:pt idx="0">
                  <c:v>32.6</c:v>
                </c:pt>
                <c:pt idx="1">
                  <c:v>26.2</c:v>
                </c:pt>
                <c:pt idx="2">
                  <c:v>21.3</c:v>
                </c:pt>
                <c:pt idx="3">
                  <c:v>15.4</c:v>
                </c:pt>
                <c:pt idx="4">
                  <c:v>6.3</c:v>
                </c:pt>
                <c:pt idx="5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4-4464-AACE-A6C77E6E3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899763"/>
        <c:axId val="2230332"/>
      </c:barChart>
      <c:catAx>
        <c:axId val="588997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30332"/>
        <c:crosses val="autoZero"/>
        <c:auto val="1"/>
        <c:lblAlgn val="ctr"/>
        <c:lblOffset val="100"/>
        <c:noMultiLvlLbl val="0"/>
      </c:catAx>
      <c:valAx>
        <c:axId val="22303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8997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Customer Gender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Source Data'!$U$2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B45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5FD-428E-9C1A-15AD5919EE0F}"/>
              </c:ext>
            </c:extLst>
          </c:dPt>
          <c:dPt>
            <c:idx val="1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5FD-428E-9C1A-15AD5919EE0F}"/>
              </c:ext>
            </c:extLst>
          </c:dPt>
          <c:dLbls>
            <c:dLbl>
              <c:idx val="0"/>
              <c:layout>
                <c:manualLayout>
                  <c:x val="-0.16983616521619008"/>
                  <c:y val="-4.747548003867937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FD-428E-9C1A-15AD5919EE0F}"/>
                </c:ext>
              </c:extLst>
            </c:dLbl>
            <c:dLbl>
              <c:idx val="1"/>
              <c:layout>
                <c:manualLayout>
                  <c:x val="0.20834314131786161"/>
                  <c:y val="2.8233354054427406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FD-428E-9C1A-15AD5919EE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Source Data'!$T$3:$T$4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'Chart Source Data'!$U$3:$U$4</c:f>
              <c:numCache>
                <c:formatCode>General</c:formatCode>
                <c:ptCount val="2"/>
                <c:pt idx="0">
                  <c:v>53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FD-428E-9C1A-15AD5919E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16</xdr:row>
      <xdr:rowOff>15240</xdr:rowOff>
    </xdr:from>
    <xdr:to>
      <xdr:col>14</xdr:col>
      <xdr:colOff>7620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312420</xdr:colOff>
      <xdr:row>16</xdr:row>
      <xdr:rowOff>83820</xdr:rowOff>
    </xdr:from>
    <xdr:to>
      <xdr:col>31</xdr:col>
      <xdr:colOff>15240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281940</xdr:colOff>
      <xdr:row>34</xdr:row>
      <xdr:rowOff>53340</xdr:rowOff>
    </xdr:from>
    <xdr:to>
      <xdr:col>13</xdr:col>
      <xdr:colOff>320040</xdr:colOff>
      <xdr:row>47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22860</xdr:colOff>
      <xdr:row>34</xdr:row>
      <xdr:rowOff>68580</xdr:rowOff>
    </xdr:from>
    <xdr:to>
      <xdr:col>31</xdr:col>
      <xdr:colOff>38100</xdr:colOff>
      <xdr:row>47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10</xdr:col>
      <xdr:colOff>7620</xdr:colOff>
      <xdr:row>64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50</xdr:row>
      <xdr:rowOff>0</xdr:rowOff>
    </xdr:from>
    <xdr:to>
      <xdr:col>19</xdr:col>
      <xdr:colOff>22860</xdr:colOff>
      <xdr:row>63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0</xdr:colOff>
      <xdr:row>50</xdr:row>
      <xdr:rowOff>0</xdr:rowOff>
    </xdr:from>
    <xdr:to>
      <xdr:col>31</xdr:col>
      <xdr:colOff>15240</xdr:colOff>
      <xdr:row>61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E99"/>
  <sheetViews>
    <sheetView showGridLines="0" showRowColHeaders="0" zoomScale="84" zoomScaleNormal="100" workbookViewId="0">
      <selection activeCell="U63" sqref="U63"/>
    </sheetView>
  </sheetViews>
  <sheetFormatPr defaultColWidth="8.6640625" defaultRowHeight="14.4" x14ac:dyDescent="0.3"/>
  <cols>
    <col min="1" max="34" width="4.77734375" customWidth="1"/>
  </cols>
  <sheetData>
    <row r="1" spans="2:31" ht="15.75" customHeight="1" x14ac:dyDescent="0.3"/>
    <row r="2" spans="2:31" ht="36" customHeight="1" x14ac:dyDescent="0.3">
      <c r="B2" s="84" t="s">
        <v>156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</row>
    <row r="3" spans="2:31" ht="18" customHeight="1" x14ac:dyDescent="0.3">
      <c r="B3" s="85" t="s">
        <v>183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</row>
    <row r="4" spans="2:31" ht="7.5" customHeight="1" x14ac:dyDescent="0.3"/>
    <row r="5" spans="2:31" ht="78" customHeight="1" x14ac:dyDescent="0.3">
      <c r="B5" s="86" t="s">
        <v>157</v>
      </c>
      <c r="C5" s="86"/>
      <c r="D5" s="86"/>
      <c r="E5" s="86"/>
      <c r="F5" s="86"/>
      <c r="H5" s="87" t="s">
        <v>158</v>
      </c>
      <c r="I5" s="87"/>
      <c r="J5" s="87"/>
      <c r="K5" s="87"/>
      <c r="L5" s="87"/>
      <c r="N5" s="88" t="s">
        <v>159</v>
      </c>
      <c r="O5" s="88"/>
      <c r="P5" s="88"/>
      <c r="Q5" s="88"/>
      <c r="R5" s="88"/>
      <c r="T5" s="89" t="s">
        <v>160</v>
      </c>
      <c r="U5" s="89"/>
      <c r="V5" s="89"/>
      <c r="W5" s="89"/>
      <c r="X5" s="89"/>
      <c r="Z5" s="90" t="s">
        <v>161</v>
      </c>
      <c r="AA5" s="90"/>
      <c r="AB5" s="90"/>
      <c r="AC5" s="90"/>
      <c r="AD5" s="90"/>
    </row>
    <row r="6" spans="2:31" ht="7.5" customHeight="1" x14ac:dyDescent="0.3"/>
    <row r="7" spans="2:31" ht="21.75" customHeight="1" x14ac:dyDescent="0.3">
      <c r="B7" s="47" t="s">
        <v>162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2"/>
      <c r="N7" s="42"/>
      <c r="P7" s="81" t="s">
        <v>163</v>
      </c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</row>
    <row r="8" spans="2:31" ht="19.5" customHeight="1" x14ac:dyDescent="0.3">
      <c r="B8" s="82" t="s">
        <v>4</v>
      </c>
      <c r="C8" s="82"/>
      <c r="D8" s="82"/>
      <c r="E8" s="82" t="s">
        <v>31</v>
      </c>
      <c r="F8" s="82"/>
      <c r="G8" s="82"/>
      <c r="H8" s="82" t="s">
        <v>164</v>
      </c>
      <c r="I8" s="82"/>
      <c r="J8" s="82"/>
      <c r="K8" s="82" t="s">
        <v>34</v>
      </c>
      <c r="L8" s="82"/>
      <c r="M8" s="46"/>
      <c r="N8" s="46"/>
      <c r="P8" s="83" t="s">
        <v>4</v>
      </c>
      <c r="Q8" s="83"/>
      <c r="R8" s="83"/>
      <c r="S8" s="83"/>
      <c r="T8" s="83" t="s">
        <v>165</v>
      </c>
      <c r="U8" s="83"/>
      <c r="V8" s="83"/>
      <c r="W8" s="83"/>
      <c r="X8" s="83" t="s">
        <v>166</v>
      </c>
      <c r="Y8" s="83"/>
      <c r="Z8" s="83"/>
      <c r="AA8" s="83" t="s">
        <v>167</v>
      </c>
      <c r="AB8" s="83"/>
      <c r="AC8" s="83"/>
      <c r="AD8" s="83"/>
      <c r="AE8" s="83"/>
    </row>
    <row r="9" spans="2:31" ht="18" customHeight="1" x14ac:dyDescent="0.3">
      <c r="B9" s="80" t="s">
        <v>25</v>
      </c>
      <c r="C9" s="80"/>
      <c r="D9" s="80"/>
      <c r="E9" s="76">
        <v>12</v>
      </c>
      <c r="F9" s="76"/>
      <c r="G9" s="76"/>
      <c r="H9" s="75">
        <v>2048526</v>
      </c>
      <c r="I9" s="75"/>
      <c r="J9" s="75"/>
      <c r="K9" s="76" t="s">
        <v>41</v>
      </c>
      <c r="L9" s="76"/>
      <c r="P9" s="80" t="s">
        <v>25</v>
      </c>
      <c r="Q9" s="80"/>
      <c r="R9" s="80"/>
      <c r="S9" s="80"/>
      <c r="T9" s="75">
        <v>2048526</v>
      </c>
      <c r="U9" s="75"/>
      <c r="V9" s="75"/>
      <c r="W9" s="75"/>
      <c r="X9" s="76" t="s">
        <v>41</v>
      </c>
      <c r="Y9" s="76"/>
      <c r="Z9" s="76"/>
      <c r="AA9" s="75">
        <v>170710</v>
      </c>
      <c r="AB9" s="75"/>
      <c r="AC9" s="75"/>
      <c r="AD9" s="75"/>
      <c r="AE9" s="75"/>
    </row>
    <row r="10" spans="2:31" ht="18" customHeight="1" x14ac:dyDescent="0.3">
      <c r="B10" s="77" t="s">
        <v>12</v>
      </c>
      <c r="C10" s="77"/>
      <c r="D10" s="77"/>
      <c r="E10" s="78">
        <v>31</v>
      </c>
      <c r="F10" s="78"/>
      <c r="G10" s="78"/>
      <c r="H10" s="79">
        <v>4367022</v>
      </c>
      <c r="I10" s="79"/>
      <c r="J10" s="79"/>
      <c r="K10" s="78" t="s">
        <v>45</v>
      </c>
      <c r="L10" s="78"/>
      <c r="P10" s="77" t="s">
        <v>12</v>
      </c>
      <c r="Q10" s="77"/>
      <c r="R10" s="77"/>
      <c r="S10" s="77"/>
      <c r="T10" s="79">
        <v>4367022</v>
      </c>
      <c r="U10" s="79"/>
      <c r="V10" s="79"/>
      <c r="W10" s="79"/>
      <c r="X10" s="78" t="s">
        <v>45</v>
      </c>
      <c r="Y10" s="78"/>
      <c r="Z10" s="78"/>
      <c r="AA10" s="79">
        <v>140871</v>
      </c>
      <c r="AB10" s="79"/>
      <c r="AC10" s="79"/>
      <c r="AD10" s="79"/>
      <c r="AE10" s="79"/>
    </row>
    <row r="11" spans="2:31" ht="18" customHeight="1" x14ac:dyDescent="0.3">
      <c r="B11" s="74" t="s">
        <v>26</v>
      </c>
      <c r="C11" s="74"/>
      <c r="D11" s="74"/>
      <c r="E11" s="70">
        <v>15</v>
      </c>
      <c r="F11" s="70"/>
      <c r="G11" s="70"/>
      <c r="H11" s="69">
        <v>1264711</v>
      </c>
      <c r="I11" s="69"/>
      <c r="J11" s="69"/>
      <c r="K11" s="70" t="s">
        <v>49</v>
      </c>
      <c r="L11" s="70"/>
      <c r="P11" s="74" t="s">
        <v>26</v>
      </c>
      <c r="Q11" s="74"/>
      <c r="R11" s="74"/>
      <c r="S11" s="74"/>
      <c r="T11" s="69">
        <v>1264711</v>
      </c>
      <c r="U11" s="69"/>
      <c r="V11" s="69"/>
      <c r="W11" s="69"/>
      <c r="X11" s="70" t="s">
        <v>49</v>
      </c>
      <c r="Y11" s="70"/>
      <c r="Z11" s="70"/>
      <c r="AA11" s="69">
        <v>84314</v>
      </c>
      <c r="AB11" s="69"/>
      <c r="AC11" s="69"/>
      <c r="AD11" s="69"/>
      <c r="AE11" s="69"/>
    </row>
    <row r="12" spans="2:31" ht="18" customHeight="1" x14ac:dyDescent="0.3">
      <c r="B12" s="71" t="s">
        <v>22</v>
      </c>
      <c r="C12" s="71"/>
      <c r="D12" s="71"/>
      <c r="E12" s="72">
        <v>27</v>
      </c>
      <c r="F12" s="72"/>
      <c r="G12" s="72"/>
      <c r="H12" s="73">
        <v>1240190</v>
      </c>
      <c r="I12" s="73"/>
      <c r="J12" s="73"/>
      <c r="K12" s="72" t="s">
        <v>53</v>
      </c>
      <c r="L12" s="72"/>
      <c r="P12" s="71" t="s">
        <v>22</v>
      </c>
      <c r="Q12" s="71"/>
      <c r="R12" s="71"/>
      <c r="S12" s="71"/>
      <c r="T12" s="73">
        <v>1240190</v>
      </c>
      <c r="U12" s="73"/>
      <c r="V12" s="73"/>
      <c r="W12" s="73"/>
      <c r="X12" s="72" t="s">
        <v>53</v>
      </c>
      <c r="Y12" s="72"/>
      <c r="Z12" s="72"/>
      <c r="AA12" s="73">
        <v>45932</v>
      </c>
      <c r="AB12" s="73"/>
      <c r="AC12" s="73"/>
      <c r="AD12" s="73"/>
      <c r="AE12" s="73"/>
    </row>
    <row r="13" spans="2:31" ht="18" customHeight="1" x14ac:dyDescent="0.3">
      <c r="B13" s="68" t="s">
        <v>9</v>
      </c>
      <c r="C13" s="68"/>
      <c r="D13" s="68"/>
      <c r="E13" s="64">
        <v>11</v>
      </c>
      <c r="F13" s="64"/>
      <c r="G13" s="64"/>
      <c r="H13" s="63">
        <v>275162</v>
      </c>
      <c r="I13" s="63"/>
      <c r="J13" s="63"/>
      <c r="K13" s="64" t="s">
        <v>57</v>
      </c>
      <c r="L13" s="64"/>
      <c r="P13" s="68" t="s">
        <v>9</v>
      </c>
      <c r="Q13" s="68"/>
      <c r="R13" s="68"/>
      <c r="S13" s="68"/>
      <c r="T13" s="63">
        <v>275162</v>
      </c>
      <c r="U13" s="63"/>
      <c r="V13" s="63"/>
      <c r="W13" s="63"/>
      <c r="X13" s="64" t="s">
        <v>57</v>
      </c>
      <c r="Y13" s="64"/>
      <c r="Z13" s="64"/>
      <c r="AA13" s="63">
        <v>25014</v>
      </c>
      <c r="AB13" s="63"/>
      <c r="AC13" s="63"/>
      <c r="AD13" s="63"/>
      <c r="AE13" s="63"/>
    </row>
    <row r="14" spans="2:31" ht="18" customHeight="1" x14ac:dyDescent="0.3">
      <c r="B14" s="65" t="s">
        <v>16</v>
      </c>
      <c r="C14" s="65"/>
      <c r="D14" s="65"/>
      <c r="E14" s="66">
        <v>4</v>
      </c>
      <c r="F14" s="66"/>
      <c r="G14" s="66"/>
      <c r="H14" s="67">
        <v>19638</v>
      </c>
      <c r="I14" s="67"/>
      <c r="J14" s="67"/>
      <c r="K14" s="66" t="s">
        <v>61</v>
      </c>
      <c r="L14" s="66"/>
      <c r="P14" s="65" t="s">
        <v>16</v>
      </c>
      <c r="Q14" s="65"/>
      <c r="R14" s="65"/>
      <c r="S14" s="65"/>
      <c r="T14" s="67">
        <v>19638</v>
      </c>
      <c r="U14" s="67"/>
      <c r="V14" s="67"/>
      <c r="W14" s="67"/>
      <c r="X14" s="66" t="s">
        <v>61</v>
      </c>
      <c r="Y14" s="66"/>
      <c r="Z14" s="66"/>
      <c r="AA14" s="67">
        <v>4909</v>
      </c>
      <c r="AB14" s="67"/>
      <c r="AC14" s="67"/>
      <c r="AD14" s="67"/>
      <c r="AE14" s="67"/>
    </row>
    <row r="15" spans="2:31" ht="9.75" customHeight="1" x14ac:dyDescent="0.3"/>
    <row r="16" spans="2:31" ht="21.75" customHeight="1" x14ac:dyDescent="0.3">
      <c r="B16" s="54" t="s">
        <v>168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P16" s="54" t="s">
        <v>169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spans="2:31" ht="9.75" customHeight="1" x14ac:dyDescent="0.3"/>
    <row r="34" spans="2:31" ht="21.75" customHeight="1" x14ac:dyDescent="0.3">
      <c r="B34" s="59" t="s">
        <v>170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P34" s="60" t="s">
        <v>171</v>
      </c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</row>
    <row r="35" spans="2:31" ht="15.75" customHeight="1" x14ac:dyDescent="0.3"/>
    <row r="36" spans="2:31" ht="15.75" customHeight="1" x14ac:dyDescent="0.3"/>
    <row r="37" spans="2:31" ht="15.75" customHeight="1" x14ac:dyDescent="0.3"/>
    <row r="38" spans="2:31" ht="15.75" customHeight="1" x14ac:dyDescent="0.3"/>
    <row r="39" spans="2:31" ht="15.75" customHeight="1" x14ac:dyDescent="0.3"/>
    <row r="40" spans="2:31" ht="15.75" customHeight="1" x14ac:dyDescent="0.3"/>
    <row r="41" spans="2:31" ht="15.75" customHeight="1" x14ac:dyDescent="0.3"/>
    <row r="42" spans="2:31" ht="15.75" customHeight="1" x14ac:dyDescent="0.3"/>
    <row r="43" spans="2:31" ht="15.75" customHeight="1" x14ac:dyDescent="0.3"/>
    <row r="44" spans="2:31" ht="15.75" customHeight="1" x14ac:dyDescent="0.3"/>
    <row r="45" spans="2:31" ht="15.75" customHeight="1" x14ac:dyDescent="0.3"/>
    <row r="46" spans="2:31" ht="15.75" customHeight="1" x14ac:dyDescent="0.3"/>
    <row r="47" spans="2:31" ht="15.75" customHeight="1" x14ac:dyDescent="0.3"/>
    <row r="48" spans="2:31" ht="15.75" customHeight="1" x14ac:dyDescent="0.3"/>
    <row r="49" spans="2:31" ht="9.75" customHeight="1" x14ac:dyDescent="0.3"/>
    <row r="50" spans="2:31" ht="21.75" customHeight="1" x14ac:dyDescent="0.3">
      <c r="B50" s="61" t="s">
        <v>172</v>
      </c>
      <c r="C50" s="61"/>
      <c r="D50" s="61"/>
      <c r="E50" s="61"/>
      <c r="F50" s="61"/>
      <c r="G50" s="61"/>
      <c r="H50" s="61"/>
      <c r="I50" s="61"/>
      <c r="J50" s="61"/>
      <c r="L50" s="62" t="s">
        <v>173</v>
      </c>
      <c r="M50" s="62"/>
      <c r="N50" s="62"/>
      <c r="O50" s="62"/>
      <c r="P50" s="62"/>
      <c r="Q50" s="62"/>
      <c r="R50" s="62"/>
      <c r="S50" s="62"/>
      <c r="U50" s="47" t="s">
        <v>174</v>
      </c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spans="2:31" ht="15.75" customHeight="1" x14ac:dyDescent="0.3"/>
    <row r="52" spans="2:31" ht="15.75" customHeight="1" x14ac:dyDescent="0.3"/>
    <row r="53" spans="2:31" ht="15.75" customHeight="1" x14ac:dyDescent="0.3"/>
    <row r="54" spans="2:31" ht="15.75" customHeight="1" x14ac:dyDescent="0.3"/>
    <row r="55" spans="2:31" ht="15.75" customHeight="1" x14ac:dyDescent="0.3"/>
    <row r="56" spans="2:31" ht="15.75" customHeight="1" x14ac:dyDescent="0.3"/>
    <row r="57" spans="2:31" ht="15.75" customHeight="1" x14ac:dyDescent="0.3"/>
    <row r="58" spans="2:31" ht="15.75" customHeight="1" x14ac:dyDescent="0.3"/>
    <row r="59" spans="2:31" ht="15.75" customHeight="1" x14ac:dyDescent="0.3"/>
    <row r="60" spans="2:31" ht="15.75" customHeight="1" x14ac:dyDescent="0.3"/>
    <row r="61" spans="2:31" ht="15.75" customHeight="1" x14ac:dyDescent="0.3"/>
    <row r="62" spans="2:31" ht="15.75" customHeight="1" x14ac:dyDescent="0.3"/>
    <row r="63" spans="2:31" ht="15.75" customHeight="1" x14ac:dyDescent="0.3"/>
    <row r="64" spans="2:31" ht="15.75" customHeight="1" x14ac:dyDescent="0.3"/>
    <row r="65" spans="2:31" ht="15.75" customHeight="1" x14ac:dyDescent="0.3"/>
    <row r="66" spans="2:31" ht="9.75" customHeight="1" x14ac:dyDescent="0.3"/>
    <row r="67" spans="2:31" ht="21.75" customHeight="1" x14ac:dyDescent="0.3">
      <c r="B67" s="54" t="s">
        <v>175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</row>
    <row r="68" spans="2:31" ht="33.75" customHeight="1" x14ac:dyDescent="0.3">
      <c r="B68" s="55" t="s">
        <v>25</v>
      </c>
      <c r="C68" s="55"/>
      <c r="D68" s="55"/>
      <c r="E68" s="55"/>
      <c r="F68" s="55"/>
      <c r="G68" s="56" t="s">
        <v>176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</row>
    <row r="69" spans="2:31" ht="33.75" customHeight="1" x14ac:dyDescent="0.3">
      <c r="B69" s="57" t="s">
        <v>9</v>
      </c>
      <c r="C69" s="57"/>
      <c r="D69" s="57"/>
      <c r="E69" s="57"/>
      <c r="F69" s="57"/>
      <c r="G69" s="58" t="s">
        <v>177</v>
      </c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</row>
    <row r="70" spans="2:31" ht="33.75" customHeight="1" x14ac:dyDescent="0.3">
      <c r="B70" s="48" t="s">
        <v>12</v>
      </c>
      <c r="C70" s="48"/>
      <c r="D70" s="48"/>
      <c r="E70" s="48"/>
      <c r="F70" s="48"/>
      <c r="G70" s="49" t="s">
        <v>178</v>
      </c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</row>
    <row r="71" spans="2:31" ht="33.75" customHeight="1" x14ac:dyDescent="0.3">
      <c r="B71" s="50" t="s">
        <v>22</v>
      </c>
      <c r="C71" s="50"/>
      <c r="D71" s="50"/>
      <c r="E71" s="50"/>
      <c r="F71" s="50"/>
      <c r="G71" s="51" t="s">
        <v>179</v>
      </c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</row>
    <row r="72" spans="2:31" ht="33.75" customHeight="1" x14ac:dyDescent="0.3">
      <c r="B72" s="52" t="s">
        <v>16</v>
      </c>
      <c r="C72" s="52"/>
      <c r="D72" s="52"/>
      <c r="E72" s="52"/>
      <c r="F72" s="52"/>
      <c r="G72" s="53" t="s">
        <v>180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</row>
    <row r="73" spans="2:31" ht="33.75" customHeight="1" x14ac:dyDescent="0.3">
      <c r="B73" s="43" t="s">
        <v>154</v>
      </c>
      <c r="C73" s="43"/>
      <c r="D73" s="43"/>
      <c r="E73" s="43"/>
      <c r="F73" s="43"/>
      <c r="G73" s="44" t="s">
        <v>181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</row>
    <row r="74" spans="2:31" ht="15.75" customHeight="1" x14ac:dyDescent="0.3"/>
    <row r="75" spans="2:31" ht="7.5" customHeight="1" x14ac:dyDescent="0.3"/>
    <row r="76" spans="2:31" ht="18" customHeight="1" x14ac:dyDescent="0.3">
      <c r="B76" s="45" t="s">
        <v>182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</row>
    <row r="77" spans="2:31" ht="15.75" customHeight="1" x14ac:dyDescent="0.3"/>
    <row r="78" spans="2:31" ht="15.75" customHeight="1" x14ac:dyDescent="0.3"/>
    <row r="79" spans="2:31" ht="15.75" customHeight="1" x14ac:dyDescent="0.3"/>
    <row r="80" spans="2:31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</sheetData>
  <mergeCells count="87">
    <mergeCell ref="B2:AE2"/>
    <mergeCell ref="B3:AE3"/>
    <mergeCell ref="B5:F5"/>
    <mergeCell ref="H5:L5"/>
    <mergeCell ref="N5:R5"/>
    <mergeCell ref="T5:X5"/>
    <mergeCell ref="Z5:AD5"/>
    <mergeCell ref="P7:AE7"/>
    <mergeCell ref="B8:D8"/>
    <mergeCell ref="E8:G8"/>
    <mergeCell ref="H8:J8"/>
    <mergeCell ref="K8:L8"/>
    <mergeCell ref="P8:S8"/>
    <mergeCell ref="T8:W8"/>
    <mergeCell ref="X8:Z8"/>
    <mergeCell ref="AA8:AE8"/>
    <mergeCell ref="T9:W9"/>
    <mergeCell ref="X9:Z9"/>
    <mergeCell ref="AA9:AE9"/>
    <mergeCell ref="B10:D10"/>
    <mergeCell ref="E10:G10"/>
    <mergeCell ref="H10:J10"/>
    <mergeCell ref="K10:L10"/>
    <mergeCell ref="P10:S10"/>
    <mergeCell ref="T10:W10"/>
    <mergeCell ref="X10:Z10"/>
    <mergeCell ref="AA10:AE10"/>
    <mergeCell ref="B9:D9"/>
    <mergeCell ref="E9:G9"/>
    <mergeCell ref="H9:J9"/>
    <mergeCell ref="K9:L9"/>
    <mergeCell ref="P9:S9"/>
    <mergeCell ref="T11:W11"/>
    <mergeCell ref="X11:Z11"/>
    <mergeCell ref="AA11:AE11"/>
    <mergeCell ref="B12:D12"/>
    <mergeCell ref="E12:G12"/>
    <mergeCell ref="H12:J12"/>
    <mergeCell ref="K12:L12"/>
    <mergeCell ref="P12:S12"/>
    <mergeCell ref="T12:W12"/>
    <mergeCell ref="X12:Z12"/>
    <mergeCell ref="AA12:AE12"/>
    <mergeCell ref="B11:D11"/>
    <mergeCell ref="E11:G11"/>
    <mergeCell ref="H11:J11"/>
    <mergeCell ref="K11:L11"/>
    <mergeCell ref="P11:S11"/>
    <mergeCell ref="T13:W13"/>
    <mergeCell ref="X13:Z13"/>
    <mergeCell ref="AA13:AE13"/>
    <mergeCell ref="B14:D14"/>
    <mergeCell ref="E14:G14"/>
    <mergeCell ref="H14:J14"/>
    <mergeCell ref="K14:L14"/>
    <mergeCell ref="P14:S14"/>
    <mergeCell ref="T14:W14"/>
    <mergeCell ref="X14:Z14"/>
    <mergeCell ref="AA14:AE14"/>
    <mergeCell ref="B13:D13"/>
    <mergeCell ref="E13:G13"/>
    <mergeCell ref="H13:J13"/>
    <mergeCell ref="K13:L13"/>
    <mergeCell ref="P13:S13"/>
    <mergeCell ref="B16:N16"/>
    <mergeCell ref="P16:AE16"/>
    <mergeCell ref="B34:N34"/>
    <mergeCell ref="P34:AE34"/>
    <mergeCell ref="B50:J50"/>
    <mergeCell ref="L50:S50"/>
    <mergeCell ref="U50:AE50"/>
    <mergeCell ref="B73:F73"/>
    <mergeCell ref="G73:AE73"/>
    <mergeCell ref="B76:AE76"/>
    <mergeCell ref="M8:N8"/>
    <mergeCell ref="B7:L7"/>
    <mergeCell ref="B70:F70"/>
    <mergeCell ref="G70:AE70"/>
    <mergeCell ref="B71:F71"/>
    <mergeCell ref="G71:AE71"/>
    <mergeCell ref="B72:F72"/>
    <mergeCell ref="G72:AE72"/>
    <mergeCell ref="B67:AE67"/>
    <mergeCell ref="B68:F68"/>
    <mergeCell ref="G68:AE68"/>
    <mergeCell ref="B69:F69"/>
    <mergeCell ref="G69:AE6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showGridLines="0" showRowColHeaders="0" tabSelected="1" zoomScaleNormal="100" workbookViewId="0">
      <selection sqref="A1:L1"/>
    </sheetView>
  </sheetViews>
  <sheetFormatPr defaultColWidth="8.6640625" defaultRowHeight="14.4" x14ac:dyDescent="0.3"/>
  <cols>
    <col min="1" max="1" width="14" customWidth="1"/>
    <col min="2" max="2" width="20" customWidth="1"/>
    <col min="3" max="5" width="24" customWidth="1"/>
    <col min="6" max="6" width="32" customWidth="1"/>
    <col min="7" max="7" width="15" customWidth="1"/>
    <col min="8" max="8" width="11" customWidth="1"/>
    <col min="9" max="9" width="16" customWidth="1"/>
  </cols>
  <sheetData>
    <row r="1" spans="1:12" ht="30" customHeight="1" x14ac:dyDescent="0.3">
      <c r="A1" s="91" t="s">
        <v>28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2" ht="19.5" customHeight="1" x14ac:dyDescent="0.3">
      <c r="A2" s="85" t="s">
        <v>29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4" spans="1:12" ht="21.75" customHeight="1" x14ac:dyDescent="0.3">
      <c r="A4" s="92" t="s">
        <v>30</v>
      </c>
      <c r="B4" s="92"/>
      <c r="C4" s="92"/>
      <c r="D4" s="92"/>
      <c r="E4" s="92"/>
      <c r="F4" s="92"/>
      <c r="G4" s="92"/>
      <c r="H4" s="92"/>
      <c r="I4" s="92"/>
    </row>
    <row r="5" spans="1:12" ht="21.75" customHeight="1" x14ac:dyDescent="0.3">
      <c r="A5" s="1" t="s">
        <v>4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</row>
    <row r="6" spans="1:12" ht="18.75" customHeight="1" x14ac:dyDescent="0.3">
      <c r="A6" s="2" t="s">
        <v>25</v>
      </c>
      <c r="B6" s="3">
        <v>12</v>
      </c>
      <c r="C6" s="3" t="s">
        <v>39</v>
      </c>
      <c r="D6" s="3" t="s">
        <v>40</v>
      </c>
      <c r="E6" s="3" t="s">
        <v>41</v>
      </c>
      <c r="F6" s="3">
        <v>13.4</v>
      </c>
      <c r="G6" s="3">
        <v>61</v>
      </c>
      <c r="H6" s="3">
        <v>32.6</v>
      </c>
      <c r="I6" s="3" t="s">
        <v>42</v>
      </c>
    </row>
    <row r="7" spans="1:12" ht="18.75" customHeight="1" x14ac:dyDescent="0.3">
      <c r="A7" s="4" t="s">
        <v>12</v>
      </c>
      <c r="B7" s="5">
        <v>31</v>
      </c>
      <c r="C7" s="5" t="s">
        <v>43</v>
      </c>
      <c r="D7" s="5" t="s">
        <v>44</v>
      </c>
      <c r="E7" s="5" t="s">
        <v>45</v>
      </c>
      <c r="F7" s="5">
        <v>11.5</v>
      </c>
      <c r="G7" s="5">
        <v>123</v>
      </c>
      <c r="H7" s="5">
        <v>26.2</v>
      </c>
      <c r="I7" s="5" t="s">
        <v>46</v>
      </c>
    </row>
    <row r="8" spans="1:12" ht="18.75" customHeight="1" x14ac:dyDescent="0.3">
      <c r="A8" s="6" t="s">
        <v>26</v>
      </c>
      <c r="B8" s="7">
        <v>15</v>
      </c>
      <c r="C8" s="7" t="s">
        <v>47</v>
      </c>
      <c r="D8" s="7" t="s">
        <v>48</v>
      </c>
      <c r="E8" s="7" t="s">
        <v>49</v>
      </c>
      <c r="F8" s="7">
        <v>9.5</v>
      </c>
      <c r="G8" s="7">
        <v>182</v>
      </c>
      <c r="H8" s="7">
        <v>21.3</v>
      </c>
      <c r="I8" s="7" t="s">
        <v>50</v>
      </c>
    </row>
    <row r="9" spans="1:12" ht="18.75" customHeight="1" x14ac:dyDescent="0.3">
      <c r="A9" s="8" t="s">
        <v>22</v>
      </c>
      <c r="B9" s="9">
        <v>27</v>
      </c>
      <c r="C9" s="9" t="s">
        <v>51</v>
      </c>
      <c r="D9" s="9" t="s">
        <v>52</v>
      </c>
      <c r="E9" s="9" t="s">
        <v>53</v>
      </c>
      <c r="F9" s="9">
        <v>7.7</v>
      </c>
      <c r="G9" s="9">
        <v>167</v>
      </c>
      <c r="H9" s="9">
        <v>15.4</v>
      </c>
      <c r="I9" s="9" t="s">
        <v>54</v>
      </c>
    </row>
    <row r="10" spans="1:12" ht="18.75" customHeight="1" x14ac:dyDescent="0.3">
      <c r="A10" s="10" t="s">
        <v>9</v>
      </c>
      <c r="B10" s="11">
        <v>11</v>
      </c>
      <c r="C10" s="11" t="s">
        <v>55</v>
      </c>
      <c r="D10" s="11" t="s">
        <v>56</v>
      </c>
      <c r="E10" s="11" t="s">
        <v>57</v>
      </c>
      <c r="F10" s="11">
        <v>5.5</v>
      </c>
      <c r="G10" s="11">
        <v>178</v>
      </c>
      <c r="H10" s="11">
        <v>6.3</v>
      </c>
      <c r="I10" s="11" t="s">
        <v>58</v>
      </c>
    </row>
    <row r="11" spans="1:12" ht="18.75" customHeight="1" x14ac:dyDescent="0.3">
      <c r="A11" s="12" t="s">
        <v>16</v>
      </c>
      <c r="B11" s="13">
        <v>4</v>
      </c>
      <c r="C11" s="13" t="s">
        <v>59</v>
      </c>
      <c r="D11" s="13" t="s">
        <v>60</v>
      </c>
      <c r="E11" s="13" t="s">
        <v>61</v>
      </c>
      <c r="F11" s="13">
        <v>4</v>
      </c>
      <c r="G11" s="13">
        <v>157</v>
      </c>
      <c r="H11" s="13">
        <v>2.2000000000000002</v>
      </c>
      <c r="I11" s="13" t="s">
        <v>62</v>
      </c>
    </row>
    <row r="12" spans="1:12" ht="18.75" customHeight="1" x14ac:dyDescent="0.3">
      <c r="A12" s="14" t="s">
        <v>63</v>
      </c>
      <c r="B12" s="14">
        <v>100</v>
      </c>
      <c r="C12" s="14" t="s">
        <v>64</v>
      </c>
      <c r="D12" s="14" t="s">
        <v>65</v>
      </c>
      <c r="E12" s="14" t="s">
        <v>64</v>
      </c>
      <c r="F12" s="14" t="s">
        <v>66</v>
      </c>
      <c r="G12" s="14" t="s">
        <v>66</v>
      </c>
      <c r="H12" s="14" t="s">
        <v>66</v>
      </c>
      <c r="I12" s="14" t="s">
        <v>66</v>
      </c>
    </row>
    <row r="14" spans="1:12" ht="21.75" customHeight="1" x14ac:dyDescent="0.3">
      <c r="A14" s="92" t="s">
        <v>67</v>
      </c>
      <c r="B14" s="92"/>
      <c r="C14" s="92"/>
      <c r="D14" s="92"/>
      <c r="E14" s="92"/>
      <c r="F14" s="92"/>
      <c r="G14" s="92"/>
      <c r="H14" s="92"/>
      <c r="I14" s="92"/>
    </row>
    <row r="15" spans="1:12" ht="21.75" customHeight="1" x14ac:dyDescent="0.3">
      <c r="A15" s="1" t="s">
        <v>68</v>
      </c>
      <c r="B15" s="1" t="s">
        <v>4</v>
      </c>
      <c r="C15" s="1" t="s">
        <v>69</v>
      </c>
      <c r="D15" s="1" t="s">
        <v>70</v>
      </c>
      <c r="E15" s="1" t="s">
        <v>71</v>
      </c>
      <c r="F15" s="1" t="s">
        <v>72</v>
      </c>
    </row>
    <row r="16" spans="1:12" ht="19.5" customHeight="1" x14ac:dyDescent="0.3">
      <c r="A16" s="15" t="s">
        <v>73</v>
      </c>
      <c r="B16" s="15" t="s">
        <v>25</v>
      </c>
      <c r="C16" s="16" t="s">
        <v>74</v>
      </c>
      <c r="D16" s="16" t="s">
        <v>75</v>
      </c>
      <c r="E16" s="16" t="s">
        <v>76</v>
      </c>
      <c r="F16" s="16" t="s">
        <v>77</v>
      </c>
    </row>
    <row r="17" spans="1:6" ht="19.5" customHeight="1" x14ac:dyDescent="0.3">
      <c r="A17" s="17" t="s">
        <v>78</v>
      </c>
      <c r="B17" s="17" t="s">
        <v>12</v>
      </c>
      <c r="C17" s="18" t="s">
        <v>79</v>
      </c>
      <c r="D17" s="18" t="s">
        <v>80</v>
      </c>
      <c r="E17" s="18" t="s">
        <v>81</v>
      </c>
      <c r="F17" s="18" t="s">
        <v>82</v>
      </c>
    </row>
    <row r="18" spans="1:6" ht="19.5" customHeight="1" x14ac:dyDescent="0.3">
      <c r="A18" s="19" t="s">
        <v>83</v>
      </c>
      <c r="B18" s="19" t="s">
        <v>26</v>
      </c>
      <c r="C18" s="20" t="s">
        <v>84</v>
      </c>
      <c r="D18" s="20" t="s">
        <v>85</v>
      </c>
      <c r="E18" s="20" t="s">
        <v>86</v>
      </c>
      <c r="F18" s="20" t="s">
        <v>87</v>
      </c>
    </row>
    <row r="19" spans="1:6" ht="19.5" customHeight="1" x14ac:dyDescent="0.3">
      <c r="A19" s="21" t="s">
        <v>88</v>
      </c>
      <c r="B19" s="21" t="s">
        <v>22</v>
      </c>
      <c r="C19" s="22" t="s">
        <v>89</v>
      </c>
      <c r="D19" s="22" t="s">
        <v>90</v>
      </c>
      <c r="E19" s="22" t="s">
        <v>91</v>
      </c>
      <c r="F19" s="22" t="s">
        <v>92</v>
      </c>
    </row>
    <row r="20" spans="1:6" ht="19.5" customHeight="1" x14ac:dyDescent="0.3">
      <c r="A20" s="23" t="s">
        <v>93</v>
      </c>
      <c r="B20" s="23" t="s">
        <v>9</v>
      </c>
      <c r="C20" s="24" t="s">
        <v>94</v>
      </c>
      <c r="D20" s="24" t="s">
        <v>95</v>
      </c>
      <c r="E20" s="24" t="s">
        <v>96</v>
      </c>
      <c r="F20" s="24" t="s">
        <v>97</v>
      </c>
    </row>
    <row r="21" spans="1:6" ht="19.5" customHeight="1" x14ac:dyDescent="0.3">
      <c r="A21" s="25" t="s">
        <v>98</v>
      </c>
      <c r="B21" s="25" t="s">
        <v>16</v>
      </c>
      <c r="C21" s="26" t="s">
        <v>99</v>
      </c>
      <c r="D21" s="26" t="s">
        <v>100</v>
      </c>
      <c r="E21" s="26" t="s">
        <v>101</v>
      </c>
      <c r="F21" s="26" t="s">
        <v>102</v>
      </c>
    </row>
  </sheetData>
  <mergeCells count="4">
    <mergeCell ref="A1:L1"/>
    <mergeCell ref="A2:L2"/>
    <mergeCell ref="A4:I4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showRowColHeaders="0" zoomScaleNormal="100" workbookViewId="0">
      <selection sqref="A1:J1"/>
    </sheetView>
  </sheetViews>
  <sheetFormatPr defaultColWidth="8.6640625" defaultRowHeight="14.4" x14ac:dyDescent="0.3"/>
  <cols>
    <col min="1" max="1" width="3" customWidth="1"/>
    <col min="2" max="2" width="20" customWidth="1"/>
    <col min="3" max="3" width="12" customWidth="1"/>
    <col min="4" max="4" width="22" customWidth="1"/>
    <col min="5" max="5" width="32" customWidth="1"/>
    <col min="6" max="6" width="28" customWidth="1"/>
    <col min="7" max="7" width="12" customWidth="1"/>
    <col min="8" max="8" width="18" customWidth="1"/>
    <col min="9" max="9" width="16" customWidth="1"/>
  </cols>
  <sheetData>
    <row r="1" spans="1:10" ht="30" customHeight="1" x14ac:dyDescent="0.3">
      <c r="A1" s="93" t="s">
        <v>103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19.5" customHeight="1" x14ac:dyDescent="0.3">
      <c r="A2" s="85" t="s">
        <v>104</v>
      </c>
      <c r="B2" s="85"/>
      <c r="C2" s="85"/>
      <c r="D2" s="85"/>
      <c r="E2" s="85"/>
      <c r="F2" s="85"/>
      <c r="G2" s="85"/>
      <c r="H2" s="85"/>
      <c r="I2" s="85"/>
      <c r="J2" s="85"/>
    </row>
    <row r="4" spans="1:10" ht="21.75" customHeight="1" x14ac:dyDescent="0.3">
      <c r="B4" s="1" t="s">
        <v>4</v>
      </c>
      <c r="C4" s="1" t="s">
        <v>105</v>
      </c>
      <c r="D4" s="1" t="s">
        <v>106</v>
      </c>
      <c r="E4" s="1" t="s">
        <v>107</v>
      </c>
      <c r="F4" s="1" t="s">
        <v>108</v>
      </c>
      <c r="G4" s="1" t="s">
        <v>109</v>
      </c>
      <c r="H4" s="1" t="s">
        <v>110</v>
      </c>
      <c r="I4" s="1" t="s">
        <v>111</v>
      </c>
    </row>
    <row r="5" spans="1:10" ht="45.75" customHeight="1" x14ac:dyDescent="0.3">
      <c r="B5" s="15" t="s">
        <v>25</v>
      </c>
      <c r="C5" s="16" t="s">
        <v>112</v>
      </c>
      <c r="D5" s="27" t="s">
        <v>113</v>
      </c>
      <c r="E5" s="27" t="s">
        <v>114</v>
      </c>
      <c r="F5" s="16" t="s">
        <v>115</v>
      </c>
      <c r="G5" s="16" t="s">
        <v>116</v>
      </c>
      <c r="H5" s="16" t="s">
        <v>117</v>
      </c>
      <c r="I5" s="16" t="s">
        <v>118</v>
      </c>
    </row>
    <row r="6" spans="1:10" ht="45.75" customHeight="1" x14ac:dyDescent="0.3">
      <c r="B6" s="17" t="s">
        <v>12</v>
      </c>
      <c r="C6" s="18" t="s">
        <v>119</v>
      </c>
      <c r="D6" s="28" t="s">
        <v>120</v>
      </c>
      <c r="E6" s="28" t="s">
        <v>121</v>
      </c>
      <c r="F6" s="18" t="s">
        <v>122</v>
      </c>
      <c r="G6" s="18" t="s">
        <v>123</v>
      </c>
      <c r="H6" s="18" t="s">
        <v>124</v>
      </c>
      <c r="I6" s="18" t="s">
        <v>125</v>
      </c>
    </row>
    <row r="7" spans="1:10" ht="45.75" customHeight="1" x14ac:dyDescent="0.3">
      <c r="B7" s="19" t="s">
        <v>26</v>
      </c>
      <c r="C7" s="20" t="s">
        <v>126</v>
      </c>
      <c r="D7" s="29" t="s">
        <v>127</v>
      </c>
      <c r="E7" s="29" t="s">
        <v>128</v>
      </c>
      <c r="F7" s="20" t="s">
        <v>129</v>
      </c>
      <c r="G7" s="20" t="s">
        <v>130</v>
      </c>
      <c r="H7" s="20" t="s">
        <v>131</v>
      </c>
      <c r="I7" s="20" t="s">
        <v>125</v>
      </c>
    </row>
    <row r="8" spans="1:10" ht="45.75" customHeight="1" x14ac:dyDescent="0.3">
      <c r="B8" s="21" t="s">
        <v>22</v>
      </c>
      <c r="C8" s="22" t="s">
        <v>126</v>
      </c>
      <c r="D8" s="30" t="s">
        <v>132</v>
      </c>
      <c r="E8" s="30" t="s">
        <v>133</v>
      </c>
      <c r="F8" s="22" t="s">
        <v>134</v>
      </c>
      <c r="G8" s="22" t="s">
        <v>116</v>
      </c>
      <c r="H8" s="22" t="s">
        <v>135</v>
      </c>
      <c r="I8" s="22" t="s">
        <v>136</v>
      </c>
    </row>
    <row r="9" spans="1:10" ht="45.75" customHeight="1" x14ac:dyDescent="0.3">
      <c r="B9" s="23" t="s">
        <v>9</v>
      </c>
      <c r="C9" s="24" t="s">
        <v>112</v>
      </c>
      <c r="D9" s="31" t="s">
        <v>137</v>
      </c>
      <c r="E9" s="31" t="s">
        <v>138</v>
      </c>
      <c r="F9" s="24" t="s">
        <v>139</v>
      </c>
      <c r="G9" s="24" t="s">
        <v>116</v>
      </c>
      <c r="H9" s="24" t="s">
        <v>140</v>
      </c>
      <c r="I9" s="24" t="s">
        <v>141</v>
      </c>
    </row>
    <row r="10" spans="1:10" ht="45.75" customHeight="1" x14ac:dyDescent="0.3">
      <c r="B10" s="25" t="s">
        <v>16</v>
      </c>
      <c r="C10" s="26" t="s">
        <v>119</v>
      </c>
      <c r="D10" s="32" t="s">
        <v>142</v>
      </c>
      <c r="E10" s="32" t="s">
        <v>143</v>
      </c>
      <c r="F10" s="26" t="s">
        <v>144</v>
      </c>
      <c r="G10" s="26" t="s">
        <v>145</v>
      </c>
      <c r="H10" s="26" t="s">
        <v>146</v>
      </c>
      <c r="I10" s="26" t="s">
        <v>125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"/>
  <sheetViews>
    <sheetView showGridLines="0" showRowColHeaders="0" zoomScaleNormal="100" workbookViewId="0"/>
  </sheetViews>
  <sheetFormatPr defaultColWidth="8.6640625" defaultRowHeight="14.4" x14ac:dyDescent="0.3"/>
  <cols>
    <col min="1" max="2" width="18" customWidth="1"/>
    <col min="4" max="5" width="18" customWidth="1"/>
    <col min="7" max="8" width="18" customWidth="1"/>
    <col min="10" max="11" width="18" customWidth="1"/>
    <col min="13" max="14" width="18" customWidth="1"/>
    <col min="16" max="21" width="18" customWidth="1"/>
  </cols>
  <sheetData>
    <row r="1" spans="1:21" x14ac:dyDescent="0.3">
      <c r="A1" s="33" t="s">
        <v>147</v>
      </c>
      <c r="D1" s="33" t="s">
        <v>148</v>
      </c>
      <c r="G1" s="33" t="s">
        <v>149</v>
      </c>
      <c r="J1" s="33" t="s">
        <v>150</v>
      </c>
      <c r="M1" s="33" t="s">
        <v>151</v>
      </c>
      <c r="P1" s="33" t="s">
        <v>152</v>
      </c>
      <c r="T1" s="33" t="s">
        <v>153</v>
      </c>
    </row>
    <row r="2" spans="1:21" x14ac:dyDescent="0.3">
      <c r="A2" s="34" t="s">
        <v>4</v>
      </c>
      <c r="B2" s="34" t="s">
        <v>31</v>
      </c>
      <c r="D2" s="35" t="s">
        <v>4</v>
      </c>
      <c r="E2" s="35" t="s">
        <v>154</v>
      </c>
      <c r="G2" s="36" t="s">
        <v>3</v>
      </c>
      <c r="H2" s="36" t="s">
        <v>155</v>
      </c>
      <c r="J2" s="37" t="s">
        <v>0</v>
      </c>
      <c r="K2" s="37" t="s">
        <v>154</v>
      </c>
      <c r="M2" s="38" t="s">
        <v>1</v>
      </c>
      <c r="N2" s="38" t="s">
        <v>31</v>
      </c>
      <c r="P2" s="39" t="s">
        <v>4</v>
      </c>
      <c r="Q2" s="39" t="s">
        <v>35</v>
      </c>
      <c r="R2" s="39" t="s">
        <v>36</v>
      </c>
      <c r="S2" s="39" t="s">
        <v>37</v>
      </c>
      <c r="T2" s="34" t="s">
        <v>2</v>
      </c>
      <c r="U2" s="34" t="s">
        <v>155</v>
      </c>
    </row>
    <row r="3" spans="1:21" x14ac:dyDescent="0.3">
      <c r="A3" s="40" t="s">
        <v>25</v>
      </c>
      <c r="B3" s="40">
        <v>12</v>
      </c>
      <c r="D3" s="40" t="s">
        <v>25</v>
      </c>
      <c r="E3" s="41">
        <v>2048526</v>
      </c>
      <c r="G3" s="40" t="s">
        <v>11</v>
      </c>
      <c r="H3" s="40">
        <v>40</v>
      </c>
      <c r="J3" s="40" t="s">
        <v>5</v>
      </c>
      <c r="K3" s="41">
        <v>1455158</v>
      </c>
      <c r="M3" s="40" t="s">
        <v>10</v>
      </c>
      <c r="N3" s="40">
        <v>21</v>
      </c>
      <c r="P3" s="40" t="s">
        <v>25</v>
      </c>
      <c r="Q3" s="40">
        <v>13.4</v>
      </c>
      <c r="R3" s="40">
        <v>61</v>
      </c>
      <c r="S3" s="40">
        <v>32.6</v>
      </c>
      <c r="T3" s="40" t="s">
        <v>7</v>
      </c>
      <c r="U3" s="40">
        <v>53</v>
      </c>
    </row>
    <row r="4" spans="1:21" x14ac:dyDescent="0.3">
      <c r="A4" s="40" t="s">
        <v>12</v>
      </c>
      <c r="B4" s="40">
        <v>31</v>
      </c>
      <c r="D4" s="40" t="s">
        <v>12</v>
      </c>
      <c r="E4" s="41">
        <v>4367022</v>
      </c>
      <c r="G4" s="40" t="s">
        <v>23</v>
      </c>
      <c r="H4" s="40">
        <v>21</v>
      </c>
      <c r="J4" s="40" t="s">
        <v>24</v>
      </c>
      <c r="K4" s="41">
        <v>3174229</v>
      </c>
      <c r="M4" s="40" t="s">
        <v>20</v>
      </c>
      <c r="N4" s="40">
        <v>26</v>
      </c>
      <c r="P4" s="40" t="s">
        <v>12</v>
      </c>
      <c r="Q4" s="40">
        <v>11.5</v>
      </c>
      <c r="R4" s="40">
        <v>123</v>
      </c>
      <c r="S4" s="40">
        <v>26.2</v>
      </c>
      <c r="T4" s="40" t="s">
        <v>19</v>
      </c>
      <c r="U4" s="40">
        <v>47</v>
      </c>
    </row>
    <row r="5" spans="1:21" x14ac:dyDescent="0.3">
      <c r="A5" s="40" t="s">
        <v>26</v>
      </c>
      <c r="B5" s="40">
        <v>15</v>
      </c>
      <c r="D5" s="40" t="s">
        <v>26</v>
      </c>
      <c r="E5" s="41">
        <v>1264711</v>
      </c>
      <c r="G5" s="40" t="s">
        <v>8</v>
      </c>
      <c r="H5" s="40">
        <v>17</v>
      </c>
      <c r="J5" s="40" t="s">
        <v>17</v>
      </c>
      <c r="K5" s="41">
        <v>1604836</v>
      </c>
      <c r="M5" s="40" t="s">
        <v>6</v>
      </c>
      <c r="N5" s="40">
        <v>19</v>
      </c>
      <c r="P5" s="40" t="s">
        <v>26</v>
      </c>
      <c r="Q5" s="40">
        <v>9.5</v>
      </c>
      <c r="R5" s="40">
        <v>182</v>
      </c>
      <c r="S5" s="40">
        <v>21.3</v>
      </c>
    </row>
    <row r="6" spans="1:21" x14ac:dyDescent="0.3">
      <c r="A6" s="40" t="s">
        <v>22</v>
      </c>
      <c r="B6" s="40">
        <v>27</v>
      </c>
      <c r="D6" s="40" t="s">
        <v>22</v>
      </c>
      <c r="E6" s="41">
        <v>1240190</v>
      </c>
      <c r="G6" s="40" t="s">
        <v>27</v>
      </c>
      <c r="H6" s="40">
        <v>13</v>
      </c>
      <c r="J6" s="40" t="s">
        <v>21</v>
      </c>
      <c r="K6" s="41">
        <v>1716730</v>
      </c>
      <c r="M6" s="40" t="s">
        <v>14</v>
      </c>
      <c r="N6" s="40">
        <v>22</v>
      </c>
      <c r="P6" s="40" t="s">
        <v>22</v>
      </c>
      <c r="Q6" s="40">
        <v>7.7</v>
      </c>
      <c r="R6" s="40">
        <v>167</v>
      </c>
      <c r="S6" s="40">
        <v>15.4</v>
      </c>
    </row>
    <row r="7" spans="1:21" x14ac:dyDescent="0.3">
      <c r="A7" s="40" t="s">
        <v>9</v>
      </c>
      <c r="B7" s="40">
        <v>11</v>
      </c>
      <c r="D7" s="40" t="s">
        <v>9</v>
      </c>
      <c r="E7" s="41">
        <v>275162</v>
      </c>
      <c r="G7" s="40" t="s">
        <v>15</v>
      </c>
      <c r="H7" s="40">
        <v>9</v>
      </c>
      <c r="J7" s="40" t="s">
        <v>13</v>
      </c>
      <c r="K7" s="41">
        <v>1264296</v>
      </c>
      <c r="M7" s="40" t="s">
        <v>18</v>
      </c>
      <c r="N7" s="40">
        <v>12</v>
      </c>
      <c r="P7" s="40" t="s">
        <v>9</v>
      </c>
      <c r="Q7" s="40">
        <v>5.5</v>
      </c>
      <c r="R7" s="40">
        <v>178</v>
      </c>
      <c r="S7" s="40">
        <v>6.3</v>
      </c>
    </row>
    <row r="8" spans="1:21" x14ac:dyDescent="0.3">
      <c r="A8" s="40" t="s">
        <v>16</v>
      </c>
      <c r="B8" s="40">
        <v>4</v>
      </c>
      <c r="D8" s="40" t="s">
        <v>16</v>
      </c>
      <c r="E8" s="41">
        <v>19638</v>
      </c>
      <c r="P8" s="40" t="s">
        <v>16</v>
      </c>
      <c r="Q8" s="40">
        <v>4</v>
      </c>
      <c r="R8" s="40">
        <v>157</v>
      </c>
      <c r="S8" s="40">
        <v>2.2000000000000002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RFM Summary</vt:lpstr>
      <vt:lpstr>Recommendations</vt:lpstr>
      <vt:lpstr>Chart 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PAL</cp:lastModifiedBy>
  <cp:revision>1</cp:revision>
  <dcterms:created xsi:type="dcterms:W3CDTF">2026-06-10T18:46:26Z</dcterms:created>
  <dcterms:modified xsi:type="dcterms:W3CDTF">2026-06-11T05:34:22Z</dcterms:modified>
  <dc:language>en-US</dc:language>
</cp:coreProperties>
</file>